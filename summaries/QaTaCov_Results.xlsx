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SigLIP_FT" sheetId="1" r:id="rId5"/>
    <sheet state="visible" name="BioBERT_FT" sheetId="2" r:id="rId6"/>
    <sheet state="visible" name="Baselines" sheetId="3" r:id="rId7"/>
    <sheet state="visible" name="Mappings" sheetId="4" r:id="rId8"/>
  </sheets>
  <definedNames/>
  <calcPr/>
</workbook>
</file>

<file path=xl/sharedStrings.xml><?xml version="1.0" encoding="utf-8"?>
<sst xmlns="http://schemas.openxmlformats.org/spreadsheetml/2006/main" count="129" uniqueCount="30">
  <si>
    <t>mode</t>
  </si>
  <si>
    <t>embedding</t>
  </si>
  <si>
    <t>batch_size</t>
  </si>
  <si>
    <t>depth</t>
  </si>
  <si>
    <t>optimizer</t>
  </si>
  <si>
    <t>lambda</t>
  </si>
  <si>
    <t>loss_version</t>
  </si>
  <si>
    <t>loss_name</t>
  </si>
  <si>
    <t>guidance_mode</t>
  </si>
  <si>
    <t>guidance_mode_name</t>
  </si>
  <si>
    <t>DSC_Covid_mean</t>
  </si>
  <si>
    <t>DSC_Covid_std</t>
  </si>
  <si>
    <t>HD95_Covid_mean</t>
  </si>
  <si>
    <t>HD95_Covid_std</t>
  </si>
  <si>
    <t>n_splits</t>
  </si>
  <si>
    <t>textft</t>
  </si>
  <si>
    <t>MedSigLIP</t>
  </si>
  <si>
    <t>SGD</t>
  </si>
  <si>
    <t>BioBERT</t>
  </si>
  <si>
    <t>AdamW</t>
  </si>
  <si>
    <t>loss_version_code</t>
  </si>
  <si>
    <t>loss_version_name</t>
  </si>
  <si>
    <t>guidance_mode_code</t>
  </si>
  <si>
    <t>STANDARD</t>
  </si>
  <si>
    <t>TEXT_TO_IMAGE</t>
  </si>
  <si>
    <t>ONLY_POSITIVES</t>
  </si>
  <si>
    <t>IMAGE_TO_TEXT</t>
  </si>
  <si>
    <t>CONTINUOUS</t>
  </si>
  <si>
    <t>BOTH_TO_SHARED</t>
  </si>
  <si>
    <t>IGNORE_DUPLICATES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</si>
</sst>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edSigLIP_F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oBERT_F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l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pp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3" displayName="Tabella_2" name="Tabella_2" id="1">
  <tableColumns count="15">
    <tableColumn name="mode" id="1"/>
    <tableColumn name="embedding" id="2"/>
    <tableColumn name="batch_size" id="3"/>
    <tableColumn name="depth" id="4"/>
    <tableColumn name="optimizer" id="5"/>
    <tableColumn name="lambda" id="6"/>
    <tableColumn name="loss_version" id="7"/>
    <tableColumn name="loss_name" id="8"/>
    <tableColumn name="guidance_mode" id="9"/>
    <tableColumn name="guidance_mode_name" id="10"/>
    <tableColumn name="DSC_Covid_mean" id="11"/>
    <tableColumn name="DSC_Covid_std" id="12"/>
    <tableColumn name="HD95_Covid_mean" id="13"/>
    <tableColumn name="HD95_Covid_std" id="14"/>
    <tableColumn name="n_splits" id="15"/>
  </tableColumns>
  <tableStyleInfo name="MedSigLIP_FT-style" showColumnStripes="0" showFirstColumn="1" showLastColumn="1" showRowStripes="1"/>
</table>
</file>

<file path=xl/tables/table2.xml><?xml version="1.0" encoding="utf-8"?>
<table xmlns="http://schemas.openxmlformats.org/spreadsheetml/2006/main" ref="A1:O13" displayName="Tabella_1" name="Tabella_1" id="2">
  <tableColumns count="15">
    <tableColumn name="mode" id="1"/>
    <tableColumn name="embedding" id="2"/>
    <tableColumn name="batch_size" id="3"/>
    <tableColumn name="depth" id="4"/>
    <tableColumn name="optimizer" id="5"/>
    <tableColumn name="lambda" id="6"/>
    <tableColumn name="loss_version" id="7"/>
    <tableColumn name="loss_name" id="8"/>
    <tableColumn name="guidance_mode" id="9"/>
    <tableColumn name="guidance_mode_name" id="10"/>
    <tableColumn name="DSC_Covid_mean" id="11"/>
    <tableColumn name="DSC_Covid_std" id="12"/>
    <tableColumn name="HD95_Covid_mean" id="13"/>
    <tableColumn name="HD95_Covid_std" id="14"/>
    <tableColumn name="n_splits" id="15"/>
  </tableColumns>
  <tableStyleInfo name="BioBERT_FT-style" showColumnStripes="0" showFirstColumn="1" showLastColumn="1" showRowStripes="1"/>
</table>
</file>

<file path=xl/tables/table3.xml><?xml version="1.0" encoding="utf-8"?>
<table xmlns="http://schemas.openxmlformats.org/spreadsheetml/2006/main" ref="A1:H9" displayName="Tabella_3" name="Tabella_3" id="3">
  <tableColumns count="8">
    <tableColumn name="batch_size" id="1"/>
    <tableColumn name="depth" id="2"/>
    <tableColumn name="optimizer" id="3"/>
    <tableColumn name="DSC_Covid_mean" id="4"/>
    <tableColumn name="DSC_Covid_std" id="5"/>
    <tableColumn name="HD95_Covid_mean" id="6"/>
    <tableColumn name="HD95_Covid_std" id="7"/>
    <tableColumn name="n_splits" id="8"/>
  </tableColumns>
  <tableStyleInfo name="Baselines-style" showColumnStripes="0" showFirstColumn="1" showLastColumn="1" showRowStripes="1"/>
</table>
</file>

<file path=xl/tables/table4.xml><?xml version="1.0" encoding="utf-8"?>
<table xmlns="http://schemas.openxmlformats.org/spreadsheetml/2006/main" ref="A1:D5" displayName="Tabella_4" name="Tabella_4" id="4">
  <tableColumns count="4">
    <tableColumn name="loss_version_code" id="1"/>
    <tableColumn name="loss_version_name" id="2"/>
    <tableColumn name="guidance_mode_code" id="3"/>
    <tableColumn name="guidance_mode_name" id="4"/>
  </tableColumns>
  <tableStyleInfo name="Mapp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6.75"/>
    <col customWidth="1" min="4" max="4" width="13.25"/>
    <col customWidth="1" min="5" max="5" width="11.5"/>
    <col customWidth="1" min="6" max="6" width="14.5"/>
    <col customWidth="1" min="7" max="8" width="18.13"/>
    <col customWidth="1" min="9" max="10" width="20.88"/>
    <col customWidth="1" min="11" max="11" width="22.13"/>
    <col customWidth="1" min="12" max="12" width="20.13"/>
    <col customWidth="1" min="13" max="13" width="23.25"/>
    <col customWidth="1" min="14" max="14" width="21.25"/>
    <col customWidth="1" min="15" max="15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 t="s">
        <v>15</v>
      </c>
      <c r="B2" s="3" t="s">
        <v>16</v>
      </c>
      <c r="C2" s="4">
        <v>64.0</v>
      </c>
      <c r="D2" s="4">
        <v>5.0</v>
      </c>
      <c r="E2" s="3" t="s">
        <v>17</v>
      </c>
      <c r="F2" s="4">
        <v>0.05</v>
      </c>
      <c r="G2" s="5">
        <v>0.0</v>
      </c>
      <c r="H2" s="4" t="str">
        <f>VLOOKUP(G2, Mappings!A:B, 2, FALSE)
</f>
        <v>STANDARD</v>
      </c>
      <c r="I2" s="4">
        <v>0.0</v>
      </c>
      <c r="J2" s="4" t="str">
        <f t="array" ref="J2">XLOOKUP(I2, Mappings!C:C, Mappings!D:D)
</f>
        <v>TEXT_TO_IMAGE</v>
      </c>
      <c r="K2" s="4">
        <v>0.7786</v>
      </c>
      <c r="L2" s="4">
        <v>0.0124</v>
      </c>
      <c r="M2" s="4">
        <v>32.5999</v>
      </c>
      <c r="N2" s="4">
        <v>0.3243</v>
      </c>
      <c r="O2" s="4">
        <v>3.0</v>
      </c>
    </row>
    <row r="3" ht="22.5" customHeight="1">
      <c r="A3" s="3" t="s">
        <v>15</v>
      </c>
      <c r="B3" s="3" t="s">
        <v>16</v>
      </c>
      <c r="C3" s="4">
        <v>64.0</v>
      </c>
      <c r="D3" s="4">
        <v>5.0</v>
      </c>
      <c r="E3" s="3" t="s">
        <v>17</v>
      </c>
      <c r="F3" s="4">
        <v>0.05</v>
      </c>
      <c r="G3" s="5">
        <v>0.0</v>
      </c>
      <c r="H3" s="4" t="str">
        <f>VLOOKUP(G3, Mappings!A:B, 2, FALSE)
</f>
        <v>STANDARD</v>
      </c>
      <c r="I3" s="4">
        <v>1.0</v>
      </c>
      <c r="J3" s="4" t="str">
        <f t="array" ref="J3">XLOOKUP(I3, Mappings!C:C, Mappings!D:D)
</f>
        <v>IMAGE_TO_TEXT</v>
      </c>
      <c r="K3" s="4">
        <v>0.7831</v>
      </c>
      <c r="L3" s="4">
        <v>0.0048</v>
      </c>
      <c r="M3" s="4">
        <v>33.0189</v>
      </c>
      <c r="N3" s="4">
        <v>0.0737</v>
      </c>
      <c r="O3" s="4">
        <v>3.0</v>
      </c>
    </row>
    <row r="4" ht="22.5" customHeight="1">
      <c r="A4" s="3" t="s">
        <v>15</v>
      </c>
      <c r="B4" s="3" t="s">
        <v>16</v>
      </c>
      <c r="C4" s="4">
        <v>64.0</v>
      </c>
      <c r="D4" s="4">
        <v>5.0</v>
      </c>
      <c r="E4" s="3" t="s">
        <v>17</v>
      </c>
      <c r="F4" s="4">
        <v>0.05</v>
      </c>
      <c r="G4" s="5">
        <v>0.0</v>
      </c>
      <c r="H4" s="4" t="str">
        <f>VLOOKUP(G4, Mappings!A:B, 2, FALSE)
</f>
        <v>STANDARD</v>
      </c>
      <c r="I4" s="4">
        <v>2.0</v>
      </c>
      <c r="J4" s="4" t="str">
        <f t="array" ref="J4">XLOOKUP(I4, Mappings!C:C, Mappings!D:D)
</f>
        <v>BOTH_TO_SHARED</v>
      </c>
      <c r="K4" s="4">
        <v>0.789</v>
      </c>
      <c r="L4" s="4">
        <v>0.0024</v>
      </c>
      <c r="M4" s="4">
        <v>32.8021</v>
      </c>
      <c r="N4" s="4">
        <v>0.3176</v>
      </c>
      <c r="O4" s="4">
        <v>3.0</v>
      </c>
    </row>
    <row r="5" ht="22.5" customHeight="1">
      <c r="A5" s="3" t="s">
        <v>15</v>
      </c>
      <c r="B5" s="3" t="s">
        <v>16</v>
      </c>
      <c r="C5" s="4">
        <v>64.0</v>
      </c>
      <c r="D5" s="4">
        <v>5.0</v>
      </c>
      <c r="E5" s="3" t="s">
        <v>17</v>
      </c>
      <c r="F5" s="4">
        <v>0.05</v>
      </c>
      <c r="G5" s="5">
        <v>1.0</v>
      </c>
      <c r="H5" s="4" t="str">
        <f>VLOOKUP(G5, Mappings!A:B, 2, FALSE)
</f>
        <v>ONLY_POSITIVES</v>
      </c>
      <c r="I5" s="4">
        <v>0.0</v>
      </c>
      <c r="J5" s="4" t="str">
        <f t="array" ref="J5">XLOOKUP(I5, Mappings!C:C, Mappings!D:D)
</f>
        <v>TEXT_TO_IMAGE</v>
      </c>
      <c r="K5" s="4">
        <v>0.7848</v>
      </c>
      <c r="L5" s="4">
        <v>0.0051</v>
      </c>
      <c r="M5" s="4">
        <v>33.0906</v>
      </c>
      <c r="N5" s="4">
        <v>0.5394</v>
      </c>
      <c r="O5" s="4">
        <v>3.0</v>
      </c>
    </row>
    <row r="6" ht="22.5" customHeight="1">
      <c r="A6" s="3" t="s">
        <v>15</v>
      </c>
      <c r="B6" s="3" t="s">
        <v>16</v>
      </c>
      <c r="C6" s="4">
        <v>64.0</v>
      </c>
      <c r="D6" s="4">
        <v>5.0</v>
      </c>
      <c r="E6" s="3" t="s">
        <v>17</v>
      </c>
      <c r="F6" s="4">
        <v>0.05</v>
      </c>
      <c r="G6" s="5">
        <v>1.0</v>
      </c>
      <c r="H6" s="4" t="str">
        <f>VLOOKUP(G6, Mappings!A:B, 2, FALSE)
</f>
        <v>ONLY_POSITIVES</v>
      </c>
      <c r="I6" s="4">
        <v>1.0</v>
      </c>
      <c r="J6" s="4" t="str">
        <f t="array" ref="J6">XLOOKUP(I6, Mappings!C:C, Mappings!D:D)
</f>
        <v>IMAGE_TO_TEXT</v>
      </c>
      <c r="K6" s="4">
        <v>0.7846</v>
      </c>
      <c r="L6" s="4">
        <v>3.0E-4</v>
      </c>
      <c r="M6" s="4">
        <v>32.7871</v>
      </c>
      <c r="N6" s="4">
        <v>0.2267</v>
      </c>
      <c r="O6" s="4">
        <v>3.0</v>
      </c>
    </row>
    <row r="7" ht="22.5" customHeight="1">
      <c r="A7" s="3" t="s">
        <v>15</v>
      </c>
      <c r="B7" s="3" t="s">
        <v>16</v>
      </c>
      <c r="C7" s="4">
        <v>64.0</v>
      </c>
      <c r="D7" s="4">
        <v>5.0</v>
      </c>
      <c r="E7" s="3" t="s">
        <v>17</v>
      </c>
      <c r="F7" s="4">
        <v>0.05</v>
      </c>
      <c r="G7" s="5">
        <v>1.0</v>
      </c>
      <c r="H7" s="4" t="str">
        <f>VLOOKUP(G7, Mappings!A:B, 2, FALSE)
</f>
        <v>ONLY_POSITIVES</v>
      </c>
      <c r="I7" s="4">
        <v>2.0</v>
      </c>
      <c r="J7" s="4" t="str">
        <f t="array" ref="J7">XLOOKUP(I7, Mappings!C:C, Mappings!D:D)
</f>
        <v>BOTH_TO_SHARED</v>
      </c>
      <c r="K7" s="4">
        <v>0.7852</v>
      </c>
      <c r="L7" s="4">
        <v>0.0054</v>
      </c>
      <c r="M7" s="4">
        <v>32.6932</v>
      </c>
      <c r="N7" s="4">
        <v>0.2193</v>
      </c>
      <c r="O7" s="4">
        <v>3.0</v>
      </c>
    </row>
    <row r="8" ht="22.5" customHeight="1">
      <c r="A8" s="3" t="s">
        <v>15</v>
      </c>
      <c r="B8" s="3" t="s">
        <v>16</v>
      </c>
      <c r="C8" s="4">
        <v>64.0</v>
      </c>
      <c r="D8" s="4">
        <v>5.0</v>
      </c>
      <c r="E8" s="3" t="s">
        <v>17</v>
      </c>
      <c r="F8" s="4">
        <v>0.05</v>
      </c>
      <c r="G8" s="5">
        <v>2.0</v>
      </c>
      <c r="H8" s="4" t="str">
        <f>VLOOKUP(G8, Mappings!A:B, 2, FALSE)
</f>
        <v>CONTINUOUS</v>
      </c>
      <c r="I8" s="4">
        <v>0.0</v>
      </c>
      <c r="J8" s="4" t="str">
        <f t="array" ref="J8">XLOOKUP(I8, Mappings!C:C, Mappings!D:D)
</f>
        <v>TEXT_TO_IMAGE</v>
      </c>
      <c r="K8" s="4">
        <v>0.7857</v>
      </c>
      <c r="L8" s="4">
        <v>0.0036</v>
      </c>
      <c r="M8" s="4">
        <v>32.7767</v>
      </c>
      <c r="N8" s="4">
        <v>0.6324</v>
      </c>
      <c r="O8" s="4">
        <v>3.0</v>
      </c>
    </row>
    <row r="9" ht="22.5" customHeight="1">
      <c r="A9" s="3" t="s">
        <v>15</v>
      </c>
      <c r="B9" s="3" t="s">
        <v>16</v>
      </c>
      <c r="C9" s="4">
        <v>64.0</v>
      </c>
      <c r="D9" s="4">
        <v>5.0</v>
      </c>
      <c r="E9" s="3" t="s">
        <v>17</v>
      </c>
      <c r="F9" s="4">
        <v>0.05</v>
      </c>
      <c r="G9" s="5">
        <v>2.0</v>
      </c>
      <c r="H9" s="4" t="str">
        <f>VLOOKUP(G9, Mappings!A:B, 2, FALSE)
</f>
        <v>CONTINUOUS</v>
      </c>
      <c r="I9" s="4">
        <v>1.0</v>
      </c>
      <c r="J9" s="4" t="str">
        <f t="array" ref="J9">XLOOKUP(I9, Mappings!C:C, Mappings!D:D)
</f>
        <v>IMAGE_TO_TEXT</v>
      </c>
      <c r="K9" s="4">
        <v>0.7887</v>
      </c>
      <c r="L9" s="4">
        <v>6.0E-4</v>
      </c>
      <c r="M9" s="4">
        <v>33.0268</v>
      </c>
      <c r="N9" s="4">
        <v>0.2438</v>
      </c>
      <c r="O9" s="4">
        <v>3.0</v>
      </c>
    </row>
    <row r="10" ht="22.5" customHeight="1">
      <c r="A10" s="3" t="s">
        <v>15</v>
      </c>
      <c r="B10" s="3" t="s">
        <v>16</v>
      </c>
      <c r="C10" s="4">
        <v>64.0</v>
      </c>
      <c r="D10" s="4">
        <v>5.0</v>
      </c>
      <c r="E10" s="3" t="s">
        <v>17</v>
      </c>
      <c r="F10" s="4">
        <v>0.05</v>
      </c>
      <c r="G10" s="5">
        <v>2.0</v>
      </c>
      <c r="H10" s="4" t="str">
        <f>VLOOKUP(G10, Mappings!A:B, 2, FALSE)
</f>
        <v>CONTINUOUS</v>
      </c>
      <c r="I10" s="4">
        <v>2.0</v>
      </c>
      <c r="J10" s="4" t="str">
        <f t="array" ref="J10">XLOOKUP(I10, Mappings!C:C, Mappings!D:D)
</f>
        <v>BOTH_TO_SHARED</v>
      </c>
      <c r="K10" s="4">
        <v>0.7831</v>
      </c>
      <c r="L10" s="4">
        <v>0.0047</v>
      </c>
      <c r="M10" s="4">
        <v>32.8937</v>
      </c>
      <c r="N10" s="4">
        <v>0.117</v>
      </c>
      <c r="O10" s="4">
        <v>3.0</v>
      </c>
    </row>
    <row r="11" ht="22.5" customHeight="1">
      <c r="A11" s="3" t="s">
        <v>15</v>
      </c>
      <c r="B11" s="3" t="s">
        <v>16</v>
      </c>
      <c r="C11" s="4">
        <v>64.0</v>
      </c>
      <c r="D11" s="4">
        <v>5.0</v>
      </c>
      <c r="E11" s="3" t="s">
        <v>17</v>
      </c>
      <c r="F11" s="4">
        <v>0.05</v>
      </c>
      <c r="G11" s="5">
        <v>3.0</v>
      </c>
      <c r="H11" s="4" t="str">
        <f>VLOOKUP(G11, Mappings!A:B, 2, FALSE)
</f>
        <v>IGNORE_DUPLICATES</v>
      </c>
      <c r="I11" s="4">
        <v>0.0</v>
      </c>
      <c r="J11" s="4" t="str">
        <f t="array" ref="J11">XLOOKUP(I11, Mappings!C:C, Mappings!D:D)
</f>
        <v>TEXT_TO_IMAGE</v>
      </c>
      <c r="K11" s="4">
        <v>0.7863</v>
      </c>
      <c r="L11" s="4">
        <v>0.0013</v>
      </c>
      <c r="M11" s="4">
        <v>32.9435</v>
      </c>
      <c r="N11" s="4">
        <v>0.428</v>
      </c>
      <c r="O11" s="4">
        <v>3.0</v>
      </c>
    </row>
    <row r="12" ht="22.5" customHeight="1">
      <c r="A12" s="3" t="s">
        <v>15</v>
      </c>
      <c r="B12" s="3" t="s">
        <v>16</v>
      </c>
      <c r="C12" s="4">
        <v>64.0</v>
      </c>
      <c r="D12" s="4">
        <v>5.0</v>
      </c>
      <c r="E12" s="3" t="s">
        <v>17</v>
      </c>
      <c r="F12" s="4">
        <v>0.05</v>
      </c>
      <c r="G12" s="5">
        <v>3.0</v>
      </c>
      <c r="H12" s="4" t="str">
        <f>VLOOKUP(G12, Mappings!A:B, 2, FALSE)
</f>
        <v>IGNORE_DUPLICATES</v>
      </c>
      <c r="I12" s="4">
        <v>1.0</v>
      </c>
      <c r="J12" s="4" t="str">
        <f t="array" ref="J12">XLOOKUP(I12, Mappings!C:C, Mappings!D:D)
</f>
        <v>IMAGE_TO_TEXT</v>
      </c>
      <c r="K12" s="4">
        <v>0.7842</v>
      </c>
      <c r="L12" s="4">
        <v>0.0054</v>
      </c>
      <c r="M12" s="4">
        <v>32.517</v>
      </c>
      <c r="N12" s="4">
        <v>0.3163</v>
      </c>
      <c r="O12" s="4">
        <v>3.0</v>
      </c>
    </row>
    <row r="13" ht="22.5" customHeight="1">
      <c r="A13" s="3" t="s">
        <v>15</v>
      </c>
      <c r="B13" s="3" t="s">
        <v>16</v>
      </c>
      <c r="C13" s="4">
        <v>64.0</v>
      </c>
      <c r="D13" s="4">
        <v>5.0</v>
      </c>
      <c r="E13" s="3" t="s">
        <v>17</v>
      </c>
      <c r="F13" s="4">
        <v>0.05</v>
      </c>
      <c r="G13" s="5">
        <v>3.0</v>
      </c>
      <c r="H13" s="4" t="str">
        <f>VLOOKUP(G13, Mappings!A:B, 2, FALSE)
</f>
        <v>IGNORE_DUPLICATES</v>
      </c>
      <c r="I13" s="4">
        <v>2.0</v>
      </c>
      <c r="J13" s="4" t="str">
        <f t="array" ref="J13">XLOOKUP(I13, Mappings!C:C, Mappings!D:D)
</f>
        <v>BOTH_TO_SHARED</v>
      </c>
      <c r="K13" s="4">
        <v>0.7868</v>
      </c>
      <c r="L13" s="4">
        <v>0.0059</v>
      </c>
      <c r="M13" s="4">
        <v>32.9824</v>
      </c>
      <c r="N13" s="4">
        <v>0.2227</v>
      </c>
      <c r="O13" s="4">
        <v>3.0</v>
      </c>
    </row>
  </sheetData>
  <dataValidations>
    <dataValidation type="list" allowBlank="1" sqref="G2:G13">
      <formula1>"#ERROR!,0,1,2,3"</formula1>
    </dataValidation>
    <dataValidation type="custom" allowBlank="1" showDropDown="1" sqref="C2:D13 F2:F13 I2:I13 K2:O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6.75"/>
    <col customWidth="1" min="4" max="4" width="13.25"/>
    <col customWidth="1" min="5" max="5" width="13.88"/>
    <col customWidth="1" min="6" max="6" width="14.5"/>
    <col customWidth="1" min="7" max="8" width="18.13"/>
    <col customWidth="1" min="9" max="10" width="20.88"/>
    <col customWidth="1" min="11" max="11" width="22.13"/>
    <col customWidth="1" min="12" max="12" width="20.13"/>
    <col customWidth="1" min="13" max="13" width="23.25"/>
    <col customWidth="1" min="14" max="14" width="21.25"/>
    <col customWidth="1" min="15" max="15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 t="s">
        <v>15</v>
      </c>
      <c r="B2" s="3" t="s">
        <v>18</v>
      </c>
      <c r="C2" s="4">
        <v>64.0</v>
      </c>
      <c r="D2" s="4">
        <v>5.0</v>
      </c>
      <c r="E2" s="3" t="s">
        <v>17</v>
      </c>
      <c r="F2" s="4">
        <v>0.05</v>
      </c>
      <c r="G2" s="4">
        <v>0.0</v>
      </c>
      <c r="H2" s="4" t="str">
        <f>VLOOKUP(G2, Mappings!A:B, 2, FALSE)
</f>
        <v>STANDARD</v>
      </c>
      <c r="I2" s="4">
        <v>0.0</v>
      </c>
      <c r="J2" s="4" t="str">
        <f t="array" ref="J2">XLOOKUP(I2, Mappings!C:C, Mappings!D:D)</f>
        <v>TEXT_TO_IMAGE</v>
      </c>
      <c r="K2" s="4">
        <v>0.7869</v>
      </c>
      <c r="L2" s="4">
        <v>6.0E-4</v>
      </c>
      <c r="M2" s="4">
        <v>32.9514</v>
      </c>
      <c r="N2" s="4">
        <v>0.2733</v>
      </c>
      <c r="O2" s="4">
        <v>3.0</v>
      </c>
    </row>
    <row r="3" ht="22.5" customHeight="1">
      <c r="A3" s="3" t="s">
        <v>15</v>
      </c>
      <c r="B3" s="3" t="s">
        <v>18</v>
      </c>
      <c r="C3" s="4">
        <v>64.0</v>
      </c>
      <c r="D3" s="4">
        <v>5.0</v>
      </c>
      <c r="E3" s="3" t="s">
        <v>17</v>
      </c>
      <c r="F3" s="4">
        <v>0.05</v>
      </c>
      <c r="G3" s="4">
        <v>0.0</v>
      </c>
      <c r="H3" s="4" t="str">
        <f>VLOOKUP(G3, Mappings!A:B, 2, FALSE)
</f>
        <v>STANDARD</v>
      </c>
      <c r="I3" s="4">
        <v>1.0</v>
      </c>
      <c r="J3" s="4" t="str">
        <f t="array" ref="J3">XLOOKUP(I3, Mappings!C:C, Mappings!D:D)</f>
        <v>IMAGE_TO_TEXT</v>
      </c>
      <c r="K3" s="4">
        <v>0.7868</v>
      </c>
      <c r="L3" s="4">
        <v>0.0015</v>
      </c>
      <c r="M3" s="4">
        <v>32.7987</v>
      </c>
      <c r="N3" s="4">
        <v>0.7297</v>
      </c>
      <c r="O3" s="4">
        <v>3.0</v>
      </c>
    </row>
    <row r="4" ht="22.5" customHeight="1">
      <c r="A4" s="3" t="s">
        <v>15</v>
      </c>
      <c r="B4" s="3" t="s">
        <v>18</v>
      </c>
      <c r="C4" s="4">
        <v>64.0</v>
      </c>
      <c r="D4" s="4">
        <v>5.0</v>
      </c>
      <c r="E4" s="3" t="s">
        <v>17</v>
      </c>
      <c r="F4" s="4">
        <v>0.05</v>
      </c>
      <c r="G4" s="4">
        <v>0.0</v>
      </c>
      <c r="H4" s="4" t="str">
        <f>VLOOKUP(G4, Mappings!A:B, 2, FALSE)
</f>
        <v>STANDARD</v>
      </c>
      <c r="I4" s="4">
        <v>2.0</v>
      </c>
      <c r="J4" s="4" t="str">
        <f t="array" ref="J4">XLOOKUP(I4, Mappings!C:C, Mappings!D:D)</f>
        <v>BOTH_TO_SHARED</v>
      </c>
      <c r="K4" s="4">
        <v>0.787</v>
      </c>
      <c r="L4" s="4">
        <v>0.0019</v>
      </c>
      <c r="M4" s="4">
        <v>33.0898</v>
      </c>
      <c r="N4" s="4">
        <v>0.8642</v>
      </c>
      <c r="O4" s="4">
        <v>3.0</v>
      </c>
    </row>
    <row r="5" ht="22.5" customHeight="1">
      <c r="A5" s="3" t="s">
        <v>15</v>
      </c>
      <c r="B5" s="3" t="s">
        <v>18</v>
      </c>
      <c r="C5" s="4">
        <v>64.0</v>
      </c>
      <c r="D5" s="4">
        <v>5.0</v>
      </c>
      <c r="E5" s="3" t="s">
        <v>17</v>
      </c>
      <c r="F5" s="4">
        <v>0.05</v>
      </c>
      <c r="G5" s="4">
        <v>1.0</v>
      </c>
      <c r="H5" s="4" t="str">
        <f>VLOOKUP(G5, Mappings!A:B, 2, FALSE)
</f>
        <v>ONLY_POSITIVES</v>
      </c>
      <c r="I5" s="4">
        <v>0.0</v>
      </c>
      <c r="J5" s="4" t="str">
        <f t="array" ref="J5">XLOOKUP(I5, Mappings!C:C, Mappings!D:D)</f>
        <v>TEXT_TO_IMAGE</v>
      </c>
      <c r="K5" s="4">
        <v>0.7894</v>
      </c>
      <c r="L5" s="4">
        <v>0.004</v>
      </c>
      <c r="M5" s="4">
        <v>33.3752</v>
      </c>
      <c r="N5" s="4">
        <v>0.6712</v>
      </c>
      <c r="O5" s="4">
        <v>3.0</v>
      </c>
    </row>
    <row r="6" ht="22.5" customHeight="1">
      <c r="A6" s="3" t="s">
        <v>15</v>
      </c>
      <c r="B6" s="3" t="s">
        <v>18</v>
      </c>
      <c r="C6" s="4">
        <v>64.0</v>
      </c>
      <c r="D6" s="4">
        <v>5.0</v>
      </c>
      <c r="E6" s="3" t="s">
        <v>17</v>
      </c>
      <c r="F6" s="4">
        <v>0.05</v>
      </c>
      <c r="G6" s="4">
        <v>1.0</v>
      </c>
      <c r="H6" s="4" t="str">
        <f>VLOOKUP(G6, Mappings!A:B, 2, FALSE)
</f>
        <v>ONLY_POSITIVES</v>
      </c>
      <c r="I6" s="4">
        <v>1.0</v>
      </c>
      <c r="J6" s="4" t="str">
        <f t="array" ref="J6">XLOOKUP(I6, Mappings!C:C, Mappings!D:D)</f>
        <v>IMAGE_TO_TEXT</v>
      </c>
      <c r="K6" s="4">
        <v>0.7852</v>
      </c>
      <c r="L6" s="4">
        <v>0.0018</v>
      </c>
      <c r="M6" s="4">
        <v>32.3074</v>
      </c>
      <c r="N6" s="4">
        <v>0.3731</v>
      </c>
      <c r="O6" s="4">
        <v>3.0</v>
      </c>
    </row>
    <row r="7" ht="22.5" customHeight="1">
      <c r="A7" s="3" t="s">
        <v>15</v>
      </c>
      <c r="B7" s="3" t="s">
        <v>18</v>
      </c>
      <c r="C7" s="4">
        <v>64.0</v>
      </c>
      <c r="D7" s="4">
        <v>5.0</v>
      </c>
      <c r="E7" s="3" t="s">
        <v>17</v>
      </c>
      <c r="F7" s="4">
        <v>0.05</v>
      </c>
      <c r="G7" s="4">
        <v>1.0</v>
      </c>
      <c r="H7" s="4" t="str">
        <f>VLOOKUP(G7, Mappings!A:B, 2, FALSE)
</f>
        <v>ONLY_POSITIVES</v>
      </c>
      <c r="I7" s="4">
        <v>2.0</v>
      </c>
      <c r="J7" s="4" t="str">
        <f t="array" ref="J7">XLOOKUP(I7, Mappings!C:C, Mappings!D:D)</f>
        <v>BOTH_TO_SHARED</v>
      </c>
      <c r="K7" s="4">
        <v>0.7846</v>
      </c>
      <c r="L7" s="4">
        <v>0.0037</v>
      </c>
      <c r="M7" s="4">
        <v>32.738</v>
      </c>
      <c r="N7" s="4">
        <v>0.442</v>
      </c>
      <c r="O7" s="4">
        <v>3.0</v>
      </c>
    </row>
    <row r="8" ht="22.5" customHeight="1">
      <c r="A8" s="3" t="s">
        <v>15</v>
      </c>
      <c r="B8" s="3" t="s">
        <v>18</v>
      </c>
      <c r="C8" s="4">
        <v>64.0</v>
      </c>
      <c r="D8" s="4">
        <v>5.0</v>
      </c>
      <c r="E8" s="3" t="s">
        <v>17</v>
      </c>
      <c r="F8" s="4">
        <v>0.05</v>
      </c>
      <c r="G8" s="4">
        <v>2.0</v>
      </c>
      <c r="H8" s="4" t="str">
        <f>VLOOKUP(G8, Mappings!A:B, 2, FALSE)
</f>
        <v>CONTINUOUS</v>
      </c>
      <c r="I8" s="4">
        <v>0.0</v>
      </c>
      <c r="J8" s="4" t="str">
        <f t="array" ref="J8">XLOOKUP(I8, Mappings!C:C, Mappings!D:D)</f>
        <v>TEXT_TO_IMAGE</v>
      </c>
      <c r="K8" s="4">
        <v>0.7891</v>
      </c>
      <c r="L8" s="4">
        <v>0.0019</v>
      </c>
      <c r="M8" s="4">
        <v>32.8983</v>
      </c>
      <c r="N8" s="4">
        <v>0.6696</v>
      </c>
      <c r="O8" s="4">
        <v>3.0</v>
      </c>
    </row>
    <row r="9" ht="22.5" customHeight="1">
      <c r="A9" s="3" t="s">
        <v>15</v>
      </c>
      <c r="B9" s="3" t="s">
        <v>18</v>
      </c>
      <c r="C9" s="4">
        <v>64.0</v>
      </c>
      <c r="D9" s="4">
        <v>5.0</v>
      </c>
      <c r="E9" s="3" t="s">
        <v>17</v>
      </c>
      <c r="F9" s="4">
        <v>0.05</v>
      </c>
      <c r="G9" s="4">
        <v>2.0</v>
      </c>
      <c r="H9" s="4" t="str">
        <f>VLOOKUP(G9, Mappings!A:B, 2, FALSE)
</f>
        <v>CONTINUOUS</v>
      </c>
      <c r="I9" s="4">
        <v>1.0</v>
      </c>
      <c r="J9" s="4" t="str">
        <f t="array" ref="J9">XLOOKUP(I9, Mappings!C:C, Mappings!D:D)</f>
        <v>IMAGE_TO_TEXT</v>
      </c>
      <c r="K9" s="4">
        <v>0.7882</v>
      </c>
      <c r="L9" s="4">
        <v>0.0032</v>
      </c>
      <c r="M9" s="4">
        <v>32.7977</v>
      </c>
      <c r="N9" s="4">
        <v>0.4871</v>
      </c>
      <c r="O9" s="4">
        <v>3.0</v>
      </c>
    </row>
    <row r="10" ht="22.5" customHeight="1">
      <c r="A10" s="3" t="s">
        <v>15</v>
      </c>
      <c r="B10" s="3" t="s">
        <v>18</v>
      </c>
      <c r="C10" s="4">
        <v>64.0</v>
      </c>
      <c r="D10" s="4">
        <v>5.0</v>
      </c>
      <c r="E10" s="3" t="s">
        <v>17</v>
      </c>
      <c r="F10" s="4">
        <v>0.05</v>
      </c>
      <c r="G10" s="4">
        <v>2.0</v>
      </c>
      <c r="H10" s="4" t="str">
        <f>VLOOKUP(G10, Mappings!A:B, 2, FALSE)
</f>
        <v>CONTINUOUS</v>
      </c>
      <c r="I10" s="4">
        <v>2.0</v>
      </c>
      <c r="J10" s="4" t="str">
        <f t="array" ref="J10">XLOOKUP(I10, Mappings!C:C, Mappings!D:D)</f>
        <v>BOTH_TO_SHARED</v>
      </c>
      <c r="K10" s="4">
        <v>0.7857</v>
      </c>
      <c r="L10" s="4">
        <v>0.0016</v>
      </c>
      <c r="M10" s="4">
        <v>32.9261</v>
      </c>
      <c r="N10" s="4">
        <v>0.7336</v>
      </c>
      <c r="O10" s="4">
        <v>3.0</v>
      </c>
    </row>
    <row r="11" ht="22.5" customHeight="1">
      <c r="A11" s="3" t="s">
        <v>15</v>
      </c>
      <c r="B11" s="3" t="s">
        <v>18</v>
      </c>
      <c r="C11" s="4">
        <v>64.0</v>
      </c>
      <c r="D11" s="4">
        <v>5.0</v>
      </c>
      <c r="E11" s="3" t="s">
        <v>17</v>
      </c>
      <c r="F11" s="4">
        <v>0.05</v>
      </c>
      <c r="G11" s="4">
        <v>3.0</v>
      </c>
      <c r="H11" s="4" t="str">
        <f>VLOOKUP(G11, Mappings!A:B, 2, FALSE)
</f>
        <v>IGNORE_DUPLICATES</v>
      </c>
      <c r="I11" s="4">
        <v>0.0</v>
      </c>
      <c r="J11" s="4" t="str">
        <f t="array" ref="J11">XLOOKUP(I11, Mappings!C:C, Mappings!D:D)</f>
        <v>TEXT_TO_IMAGE</v>
      </c>
      <c r="K11" s="4">
        <v>0.7865</v>
      </c>
      <c r="L11" s="4">
        <v>0.005</v>
      </c>
      <c r="M11" s="4">
        <v>32.9701</v>
      </c>
      <c r="N11" s="4">
        <v>0.2916</v>
      </c>
      <c r="O11" s="4">
        <v>3.0</v>
      </c>
    </row>
    <row r="12" ht="22.5" customHeight="1">
      <c r="A12" s="3" t="s">
        <v>15</v>
      </c>
      <c r="B12" s="3" t="s">
        <v>18</v>
      </c>
      <c r="C12" s="4">
        <v>64.0</v>
      </c>
      <c r="D12" s="4">
        <v>5.0</v>
      </c>
      <c r="E12" s="3" t="s">
        <v>17</v>
      </c>
      <c r="F12" s="4">
        <v>0.05</v>
      </c>
      <c r="G12" s="4">
        <v>3.0</v>
      </c>
      <c r="H12" s="4" t="str">
        <f>VLOOKUP(G12, Mappings!A:B, 2, FALSE)
</f>
        <v>IGNORE_DUPLICATES</v>
      </c>
      <c r="I12" s="4">
        <v>1.0</v>
      </c>
      <c r="J12" s="4" t="str">
        <f t="array" ref="J12">XLOOKUP(I12, Mappings!C:C, Mappings!D:D)</f>
        <v>IMAGE_TO_TEXT</v>
      </c>
      <c r="K12" s="4">
        <v>0.7864</v>
      </c>
      <c r="L12" s="4">
        <v>0.003</v>
      </c>
      <c r="M12" s="4">
        <v>33.2834</v>
      </c>
      <c r="N12" s="4">
        <v>0.2288</v>
      </c>
      <c r="O12" s="4">
        <v>3.0</v>
      </c>
    </row>
    <row r="13" ht="22.5" customHeight="1">
      <c r="A13" s="3" t="s">
        <v>15</v>
      </c>
      <c r="B13" s="3" t="s">
        <v>18</v>
      </c>
      <c r="C13" s="4">
        <v>64.0</v>
      </c>
      <c r="D13" s="4">
        <v>5.0</v>
      </c>
      <c r="E13" s="3" t="s">
        <v>17</v>
      </c>
      <c r="F13" s="4">
        <v>0.05</v>
      </c>
      <c r="G13" s="4">
        <v>3.0</v>
      </c>
      <c r="H13" s="4" t="str">
        <f>VLOOKUP(G13, Mappings!A:B, 2, FALSE)
</f>
        <v>IGNORE_DUPLICATES</v>
      </c>
      <c r="I13" s="4">
        <v>2.0</v>
      </c>
      <c r="J13" s="4" t="str">
        <f t="array" ref="J13">XLOOKUP(I13, Mappings!C:C, Mappings!D:D)</f>
        <v>BOTH_TO_SHARED</v>
      </c>
      <c r="K13" s="4">
        <v>0.787</v>
      </c>
      <c r="L13" s="4">
        <v>0.0035</v>
      </c>
      <c r="M13" s="4">
        <v>33.0143</v>
      </c>
      <c r="N13" s="4">
        <v>0.4971</v>
      </c>
      <c r="O13" s="4">
        <v>3.0</v>
      </c>
    </row>
  </sheetData>
  <dataValidations>
    <dataValidation type="custom" allowBlank="1" showDropDown="1" sqref="C2:D13 F2:G13 I2:I13 K2:O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3.25"/>
    <col customWidth="1" min="3" max="3" width="16.0"/>
    <col customWidth="1" min="4" max="4" width="22.13"/>
    <col customWidth="1" min="5" max="5" width="20.13"/>
    <col customWidth="1" min="6" max="6" width="20.0"/>
    <col customWidth="1" min="7" max="7" width="18.0"/>
    <col customWidth="1" min="8" max="8" width="14.63"/>
  </cols>
  <sheetData>
    <row r="1" ht="22.5" customHeight="1">
      <c r="A1" s="1" t="s">
        <v>2</v>
      </c>
      <c r="B1" s="1" t="s">
        <v>3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ht="22.5" customHeight="1">
      <c r="A2" s="4">
        <v>32.0</v>
      </c>
      <c r="B2" s="4">
        <v>3.0</v>
      </c>
      <c r="C2" s="6" t="s">
        <v>19</v>
      </c>
      <c r="D2" s="4">
        <v>0.78285</v>
      </c>
      <c r="E2" s="4">
        <v>0.00157</v>
      </c>
      <c r="F2" s="7">
        <v>35.14383</v>
      </c>
      <c r="G2" s="7">
        <v>0.62876</v>
      </c>
      <c r="H2" s="4">
        <v>3.0</v>
      </c>
    </row>
    <row r="3" ht="22.5" customHeight="1">
      <c r="A3" s="4">
        <v>32.0</v>
      </c>
      <c r="B3" s="4">
        <v>3.0</v>
      </c>
      <c r="C3" s="6" t="s">
        <v>17</v>
      </c>
      <c r="D3" s="4">
        <v>0.77958</v>
      </c>
      <c r="E3" s="4">
        <v>0.00161</v>
      </c>
      <c r="F3" s="8"/>
      <c r="G3" s="8"/>
      <c r="H3" s="4">
        <v>3.0</v>
      </c>
    </row>
    <row r="4" ht="22.5" customHeight="1">
      <c r="A4" s="4">
        <v>32.0</v>
      </c>
      <c r="B4" s="4">
        <v>5.0</v>
      </c>
      <c r="C4" s="6" t="s">
        <v>19</v>
      </c>
      <c r="D4" s="4">
        <v>0.77411</v>
      </c>
      <c r="E4" s="4">
        <v>0.00358</v>
      </c>
      <c r="F4" s="7">
        <v>35.31839</v>
      </c>
      <c r="G4" s="7">
        <v>0.37294</v>
      </c>
      <c r="H4" s="4">
        <v>3.0</v>
      </c>
    </row>
    <row r="5" ht="22.5" customHeight="1">
      <c r="A5" s="4">
        <v>32.0</v>
      </c>
      <c r="B5" s="4">
        <v>5.0</v>
      </c>
      <c r="C5" s="6" t="s">
        <v>17</v>
      </c>
      <c r="D5" s="4">
        <v>0.78883</v>
      </c>
      <c r="E5" s="4">
        <v>0.00252</v>
      </c>
      <c r="F5" s="7">
        <v>32.60103</v>
      </c>
      <c r="G5" s="8"/>
      <c r="H5" s="4">
        <v>3.0</v>
      </c>
    </row>
    <row r="6" ht="22.5" customHeight="1">
      <c r="A6" s="4">
        <v>64.0</v>
      </c>
      <c r="B6" s="4">
        <v>3.0</v>
      </c>
      <c r="C6" s="6" t="s">
        <v>19</v>
      </c>
      <c r="D6" s="4">
        <v>0.77737</v>
      </c>
      <c r="E6" s="4">
        <v>0.00641</v>
      </c>
      <c r="F6" s="8"/>
      <c r="G6" s="8"/>
      <c r="H6" s="4">
        <v>3.0</v>
      </c>
    </row>
    <row r="7" ht="22.5" customHeight="1">
      <c r="A7" s="4">
        <v>64.0</v>
      </c>
      <c r="B7" s="4">
        <v>3.0</v>
      </c>
      <c r="C7" s="6" t="s">
        <v>17</v>
      </c>
      <c r="D7" s="4">
        <v>0.78077</v>
      </c>
      <c r="E7" s="4">
        <v>0.00359</v>
      </c>
      <c r="F7" s="7">
        <v>33.95978</v>
      </c>
      <c r="G7" s="8"/>
      <c r="H7" s="4">
        <v>3.0</v>
      </c>
    </row>
    <row r="8" ht="22.5" customHeight="1">
      <c r="A8" s="4">
        <v>64.0</v>
      </c>
      <c r="B8" s="4">
        <v>5.0</v>
      </c>
      <c r="C8" s="6" t="s">
        <v>19</v>
      </c>
      <c r="D8" s="4">
        <v>0.7756</v>
      </c>
      <c r="E8" s="4">
        <v>0.00452</v>
      </c>
      <c r="F8" s="7">
        <v>35.40655</v>
      </c>
      <c r="G8" s="8"/>
      <c r="H8" s="4">
        <v>3.0</v>
      </c>
    </row>
    <row r="9" ht="22.5" customHeight="1">
      <c r="A9" s="9">
        <v>64.0</v>
      </c>
      <c r="B9" s="9">
        <v>5.0</v>
      </c>
      <c r="C9" s="10" t="s">
        <v>17</v>
      </c>
      <c r="D9" s="9">
        <v>0.78638</v>
      </c>
      <c r="E9" s="9">
        <v>0.00132</v>
      </c>
      <c r="F9" s="11">
        <v>33.16637</v>
      </c>
      <c r="G9" s="12"/>
      <c r="H9" s="9">
        <v>3.0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</sheetData>
  <dataValidations>
    <dataValidation type="list" allowBlank="1" showDropDown="1" showErrorMessage="1" sqref="C2:C9">
      <formula1>"AdamW,SGD"</formula1>
    </dataValidation>
    <dataValidation type="custom" allowBlank="1" showDropDown="1" sqref="A2:B9 D2:E9 H2:H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9.63"/>
    <col customWidth="1" min="3" max="3" width="21.88"/>
    <col customWidth="1" min="4" max="4" width="23.25"/>
  </cols>
  <sheetData>
    <row r="1" ht="22.5" customHeight="1">
      <c r="A1" s="14" t="s">
        <v>20</v>
      </c>
      <c r="B1" s="14" t="s">
        <v>21</v>
      </c>
      <c r="C1" s="15" t="s">
        <v>22</v>
      </c>
      <c r="D1" s="15" t="s">
        <v>9</v>
      </c>
    </row>
    <row r="2" ht="22.5" customHeight="1">
      <c r="A2" s="16">
        <v>0.0</v>
      </c>
      <c r="B2" s="17" t="s">
        <v>23</v>
      </c>
      <c r="C2" s="17">
        <v>0.0</v>
      </c>
      <c r="D2" s="17" t="s">
        <v>24</v>
      </c>
    </row>
    <row r="3" ht="22.5" customHeight="1">
      <c r="A3" s="16">
        <v>1.0</v>
      </c>
      <c r="B3" s="17" t="s">
        <v>25</v>
      </c>
      <c r="C3" s="17">
        <v>1.0</v>
      </c>
      <c r="D3" s="17" t="s">
        <v>26</v>
      </c>
    </row>
    <row r="4" ht="22.5" customHeight="1">
      <c r="A4" s="16">
        <v>2.0</v>
      </c>
      <c r="B4" s="17" t="s">
        <v>27</v>
      </c>
      <c r="C4" s="17">
        <v>2.0</v>
      </c>
      <c r="D4" s="17" t="s">
        <v>28</v>
      </c>
    </row>
    <row r="5" ht="22.5" customHeight="1">
      <c r="A5" s="16">
        <v>3.0</v>
      </c>
      <c r="B5" s="17" t="s">
        <v>29</v>
      </c>
    </row>
  </sheetData>
  <dataValidations>
    <dataValidation type="custom" allowBlank="1" showDropDown="1" sqref="A2:A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